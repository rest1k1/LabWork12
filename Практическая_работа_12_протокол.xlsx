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st1ktruechad/Desktop/"/>
    </mc:Choice>
  </mc:AlternateContent>
  <xr:revisionPtr revIDLastSave="0" documentId="13_ncr:1_{34AD5975-550A-274C-9827-F0DF3AFDB3D2}" xr6:coauthVersionLast="47" xr6:coauthVersionMax="47" xr10:uidLastSave="{00000000-0000-0000-0000-000000000000}"/>
  <bookViews>
    <workbookView xWindow="0" yWindow="680" windowWidth="34200" windowHeight="19880" xr2:uid="{00000000-000D-0000-FFFF-FFFF00000000}"/>
  </bookViews>
  <sheets>
    <sheet name="Протокол" sheetId="1" r:id="rId1"/>
    <sheet name="Итоги" sheetId="2" r:id="rId2"/>
    <sheet name="SUS-N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C11" i="3"/>
  <c r="C10" i="3"/>
  <c r="C9" i="3"/>
  <c r="C8" i="3"/>
  <c r="C7" i="3"/>
  <c r="C6" i="3"/>
  <c r="C5" i="3"/>
  <c r="C4" i="3"/>
  <c r="C3" i="3"/>
  <c r="C2" i="3"/>
  <c r="C12" i="3" s="1"/>
  <c r="C13" i="3" s="1"/>
  <c r="B12" i="2"/>
  <c r="B11" i="2"/>
  <c r="B10" i="2"/>
  <c r="B9" i="2"/>
  <c r="B7" i="2"/>
  <c r="B6" i="2"/>
  <c r="B3" i="2"/>
  <c r="B2" i="2"/>
  <c r="H10" i="1"/>
  <c r="E10" i="1"/>
  <c r="B4" i="2" s="1"/>
  <c r="D10" i="1"/>
  <c r="C10" i="1"/>
</calcChain>
</file>

<file path=xl/sharedStrings.xml><?xml version="1.0" encoding="utf-8"?>
<sst xmlns="http://schemas.openxmlformats.org/spreadsheetml/2006/main" count="96" uniqueCount="79">
  <si>
    <t>№</t>
  </si>
  <si>
    <t>Задача</t>
  </si>
  <si>
    <t>Время (мм:сс,сотые)</t>
  </si>
  <si>
    <t>Действия*</t>
  </si>
  <si>
    <t>Ошибки*</t>
  </si>
  <si>
    <t>Цель достигнута</t>
  </si>
  <si>
    <t>Помощь</t>
  </si>
  <si>
    <t>SEQ (1–7)</t>
  </si>
  <si>
    <t>Наблюдения</t>
  </si>
  <si>
    <t>Регистрация</t>
  </si>
  <si>
    <t>Да</t>
  </si>
  <si>
    <t>Не указано</t>
  </si>
  <si>
    <t>Две ошибки при вводе пароля/подтверждения; регистрация завершена.</t>
  </si>
  <si>
    <t>Восстановление пароля</t>
  </si>
  <si>
    <t>Повторный ввод пароля; пароль успешно изменён.</t>
  </si>
  <si>
    <t>Вход в систему</t>
  </si>
  <si>
    <t>Сначала введено имя пользователя вместо почты; вход успешен.</t>
  </si>
  <si>
    <t>Вход в автономном режиме</t>
  </si>
  <si>
    <t>Вход выполнен успешно.</t>
  </si>
  <si>
    <t>Загрузка, скачивание и удаление файла</t>
  </si>
  <si>
    <t>Все операции завершены.</t>
  </si>
  <si>
    <t>Создание папки и переход в неё</t>
  </si>
  <si>
    <t>Папка создана, переход выполнен.</t>
  </si>
  <si>
    <t>Загрузка каталога</t>
  </si>
  <si>
    <t>Каталог загружен.</t>
  </si>
  <si>
    <t>Изменение данных пользователя</t>
  </si>
  <si>
    <t>Изменены данные пользователя и номер телефона.</t>
  </si>
  <si>
    <t>Итого</t>
  </si>
  <si>
    <t/>
  </si>
  <si>
    <t>8 из 8</t>
  </si>
  <si>
    <t>* Действия и ошибки восстановлены приблизительно по описанию.</t>
  </si>
  <si>
    <t>Показатель</t>
  </si>
  <si>
    <t>Результат</t>
  </si>
  <si>
    <t>Расчёт / примечание</t>
  </si>
  <si>
    <t>TSR</t>
  </si>
  <si>
    <t>Успешные задачи / все задачи</t>
  </si>
  <si>
    <t>CR</t>
  </si>
  <si>
    <t>Завершённые задачи / начатые задачи (все 8 начаты)</t>
  </si>
  <si>
    <t>ER</t>
  </si>
  <si>
    <t>Ошибочные действия / все действия</t>
  </si>
  <si>
    <t>AR</t>
  </si>
  <si>
    <t>Не рассчитан</t>
  </si>
  <si>
    <t>Сведения об обращении за помощью не записаны</t>
  </si>
  <si>
    <t>ATT</t>
  </si>
  <si>
    <t>Среднее время одной задачи</t>
  </si>
  <si>
    <t>TP</t>
  </si>
  <si>
    <t>Задачи в минуту</t>
  </si>
  <si>
    <t>EU</t>
  </si>
  <si>
    <t>Нужна формула EU из теоретического материала</t>
  </si>
  <si>
    <t>SEQ</t>
  </si>
  <si>
    <t>Среднее по задачам (шкала 1–7)</t>
  </si>
  <si>
    <t>SUS</t>
  </si>
  <si>
    <t>Оценка SUS (0–100)</t>
  </si>
  <si>
    <t>NPS</t>
  </si>
  <si>
    <t>Один ответ: 0–6 = критик; 7–8 = нейтральный; 9–10 = сторонник</t>
  </si>
  <si>
    <t>Общее время теста</t>
  </si>
  <si>
    <t>Все 8 задач</t>
  </si>
  <si>
    <t>Вопрос SUS</t>
  </si>
  <si>
    <t>Ответ (1–5)</t>
  </si>
  <si>
    <t>Скорректированный балл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</si>
  <si>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</si>
  <si>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</si>
  <si>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</si>
  <si>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</si>
  <si>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</si>
  <si>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</si>
  <si>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</si>
  <si>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</si>
  <si>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</si>
  <si>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</si>
  <si>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Сумма</t>
  </si>
  <si>
    <t>Итог SUS (0–100)</t>
  </si>
  <si>
    <t>Оценка NPS (0–10)</t>
  </si>
  <si>
    <t>Ответ испытуемого</t>
  </si>
  <si>
    <t>NPS (один ответ)</t>
  </si>
  <si>
    <t>3 балла = критик; результат только одного участника</t>
  </si>
  <si>
    <t>Обратная связь</t>
  </si>
  <si>
    <t>Не предоставлена</t>
  </si>
  <si>
    <t>Заполнить по словам испытуемого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</si>
</sst>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.00"/>
  </numFmts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110" workbookViewId="0">
      <pane ySplit="1" topLeftCell="A2" activePane="bottomLeft" state="frozen"/>
      <selection pane="bottomLeft" activeCell="B15" sqref="B15"/>
    </sheetView>
  </sheetViews>
  <sheetFormatPr baseColWidth="10" defaultRowHeight="16" x14ac:dyDescent="0.2"/>
  <cols>
    <col min="1" max="1" width="7" customWidth="1"/>
    <col min="2" max="2" width="32.1640625" customWidth="1"/>
    <col min="3" max="3" width="16.83203125" customWidth="1"/>
    <col min="4" max="4" width="12.83203125" customWidth="1"/>
    <col min="5" max="5" width="11" customWidth="1"/>
    <col min="6" max="6" width="15.5" customWidth="1"/>
    <col min="7" max="7" width="13.33203125" customWidth="1"/>
    <col min="8" max="8" width="12" customWidth="1"/>
    <col min="9" max="9" width="59.1640625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">
      <c r="A2">
        <v>1</v>
      </c>
      <c r="B2" t="s">
        <v>9</v>
      </c>
      <c r="C2" s="3">
        <v>3.9717592592592591E-3</v>
      </c>
      <c r="D2">
        <v>12</v>
      </c>
      <c r="E2">
        <v>2</v>
      </c>
      <c r="F2" t="s">
        <v>10</v>
      </c>
      <c r="G2" t="s">
        <v>11</v>
      </c>
      <c r="H2">
        <v>1</v>
      </c>
      <c r="I2" t="s">
        <v>12</v>
      </c>
    </row>
    <row r="3" spans="1:9" ht="15" x14ac:dyDescent="0.2">
      <c r="A3">
        <v>2</v>
      </c>
      <c r="B3" t="s">
        <v>13</v>
      </c>
      <c r="C3" s="3">
        <v>1.8194444444444443E-3</v>
      </c>
      <c r="D3">
        <v>13</v>
      </c>
      <c r="E3">
        <v>3</v>
      </c>
      <c r="F3" t="s">
        <v>10</v>
      </c>
      <c r="G3" t="s">
        <v>11</v>
      </c>
      <c r="H3">
        <v>4</v>
      </c>
      <c r="I3" t="s">
        <v>14</v>
      </c>
    </row>
    <row r="4" spans="1:9" ht="15" x14ac:dyDescent="0.2">
      <c r="A4">
        <v>3</v>
      </c>
      <c r="B4" t="s">
        <v>15</v>
      </c>
      <c r="C4" s="3">
        <v>6.0717592592592594E-4</v>
      </c>
      <c r="D4">
        <v>4</v>
      </c>
      <c r="E4">
        <v>2</v>
      </c>
      <c r="F4" t="s">
        <v>10</v>
      </c>
      <c r="G4" t="s">
        <v>11</v>
      </c>
      <c r="H4">
        <v>1</v>
      </c>
      <c r="I4" t="s">
        <v>16</v>
      </c>
    </row>
    <row r="5" spans="1:9" ht="15" x14ac:dyDescent="0.2">
      <c r="A5">
        <v>4</v>
      </c>
      <c r="B5" t="s">
        <v>17</v>
      </c>
      <c r="C5" s="3">
        <v>4.895833333333333E-4</v>
      </c>
      <c r="D5">
        <v>3</v>
      </c>
      <c r="E5">
        <v>0</v>
      </c>
      <c r="F5" t="s">
        <v>10</v>
      </c>
      <c r="G5" t="s">
        <v>11</v>
      </c>
      <c r="H5">
        <v>1</v>
      </c>
      <c r="I5" t="s">
        <v>18</v>
      </c>
    </row>
    <row r="6" spans="1:9" ht="15" x14ac:dyDescent="0.2">
      <c r="A6">
        <v>5</v>
      </c>
      <c r="B6" t="s">
        <v>19</v>
      </c>
      <c r="C6" s="3">
        <v>6.7361111111111116E-4</v>
      </c>
      <c r="D6">
        <v>3</v>
      </c>
      <c r="E6">
        <v>0</v>
      </c>
      <c r="F6" t="s">
        <v>10</v>
      </c>
      <c r="G6" t="s">
        <v>11</v>
      </c>
      <c r="H6">
        <v>2</v>
      </c>
      <c r="I6" t="s">
        <v>20</v>
      </c>
    </row>
    <row r="7" spans="1:9" ht="15" x14ac:dyDescent="0.2">
      <c r="A7">
        <v>6</v>
      </c>
      <c r="B7" t="s">
        <v>21</v>
      </c>
      <c r="C7" s="3">
        <v>2.6828703703703704E-4</v>
      </c>
      <c r="D7">
        <v>2</v>
      </c>
      <c r="E7">
        <v>0</v>
      </c>
      <c r="F7" t="s">
        <v>10</v>
      </c>
      <c r="G7" t="s">
        <v>11</v>
      </c>
      <c r="H7">
        <v>1</v>
      </c>
      <c r="I7" t="s">
        <v>22</v>
      </c>
    </row>
    <row r="8" spans="1:9" ht="15" x14ac:dyDescent="0.2">
      <c r="A8">
        <v>7</v>
      </c>
      <c r="B8" t="s">
        <v>23</v>
      </c>
      <c r="C8" s="3">
        <v>2.3599537037037038E-4</v>
      </c>
      <c r="D8">
        <v>3</v>
      </c>
      <c r="E8">
        <v>0</v>
      </c>
      <c r="F8" t="s">
        <v>10</v>
      </c>
      <c r="G8" t="s">
        <v>11</v>
      </c>
      <c r="H8">
        <v>2</v>
      </c>
      <c r="I8" t="s">
        <v>24</v>
      </c>
    </row>
    <row r="9" spans="1:9" ht="15" x14ac:dyDescent="0.2">
      <c r="A9">
        <v>8</v>
      </c>
      <c r="B9" t="s">
        <v>25</v>
      </c>
      <c r="C9" s="3">
        <v>1.8951388888888889E-3</v>
      </c>
      <c r="D9">
        <v>7</v>
      </c>
      <c r="E9">
        <v>0</v>
      </c>
      <c r="F9" t="s">
        <v>10</v>
      </c>
      <c r="G9" t="s">
        <v>11</v>
      </c>
      <c r="H9">
        <v>4</v>
      </c>
      <c r="I9" t="s">
        <v>26</v>
      </c>
    </row>
    <row r="10" spans="1:9" x14ac:dyDescent="0.2">
      <c r="A10" t="s">
        <v>27</v>
      </c>
      <c r="B10" t="s">
        <v>28</v>
      </c>
      <c r="C10" s="2">
        <f>SUM(C2:C9)</f>
        <v>9.9609953703703701E-3</v>
      </c>
      <c r="D10" s="2">
        <f>SUM(D2:D9)</f>
        <v>47</v>
      </c>
      <c r="E10" s="2">
        <f>SUM(E2:E9)</f>
        <v>7</v>
      </c>
      <c r="F10" t="s">
        <v>29</v>
      </c>
      <c r="G10" t="s">
        <v>11</v>
      </c>
      <c r="H10" s="2">
        <f>AVERAGE(H2:H9)</f>
        <v>2</v>
      </c>
      <c r="I10" t="s">
        <v>30</v>
      </c>
    </row>
  </sheetData>
  <autoFilter ref="A1:I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27" customWidth="1"/>
    <col min="2" max="2" width="20" customWidth="1"/>
    <col min="3" max="3" width="82" customWidth="1"/>
  </cols>
  <sheetData>
    <row r="1" spans="1:3" ht="15" x14ac:dyDescent="0.2">
      <c r="A1" s="1" t="s">
        <v>31</v>
      </c>
      <c r="B1" s="1" t="s">
        <v>32</v>
      </c>
      <c r="C1" s="1" t="s">
        <v>33</v>
      </c>
    </row>
    <row r="2" spans="1:3" x14ac:dyDescent="0.2">
      <c r="A2" t="s">
        <v>34</v>
      </c>
      <c r="B2" s="2">
        <f>COUNTIF(Протокол!F2:F9,"Да")/COUNTA(Протокол!A2:A9)</f>
        <v>1</v>
      </c>
      <c r="C2" t="s">
        <v>35</v>
      </c>
    </row>
    <row r="3" spans="1:3" x14ac:dyDescent="0.2">
      <c r="A3" t="s">
        <v>36</v>
      </c>
      <c r="B3" s="2">
        <f>COUNTIF(Протокол!F2:F9,"Да")/COUNTA(Протокол!A2:A9)</f>
        <v>1</v>
      </c>
      <c r="C3" t="s">
        <v>37</v>
      </c>
    </row>
    <row r="4" spans="1:3" x14ac:dyDescent="0.2">
      <c r="A4" t="s">
        <v>38</v>
      </c>
      <c r="B4" s="2">
        <f>Протокол!E10/Протокол!D10</f>
        <v>0.14893617021276595</v>
      </c>
      <c r="C4" t="s">
        <v>39</v>
      </c>
    </row>
    <row r="5" spans="1:3" ht="15" x14ac:dyDescent="0.2">
      <c r="A5" t="s">
        <v>40</v>
      </c>
      <c r="B5" t="s">
        <v>41</v>
      </c>
      <c r="C5" t="s">
        <v>42</v>
      </c>
    </row>
    <row r="6" spans="1:3" x14ac:dyDescent="0.2">
      <c r="A6" t="s">
        <v>43</v>
      </c>
      <c r="B6" s="2">
        <f>AVERAGE(Протокол!C2:C9)</f>
        <v>1.2451244212962963E-3</v>
      </c>
      <c r="C6" t="s">
        <v>44</v>
      </c>
    </row>
    <row r="7" spans="1:3" x14ac:dyDescent="0.2">
      <c r="A7" t="s">
        <v>45</v>
      </c>
      <c r="B7" s="2">
        <f>COUNTIF(Протокол!F2:F9,"Да")/(SUM(Протокол!C2:C9)*1440)</f>
        <v>0.55773096452598681</v>
      </c>
      <c r="C7" t="s">
        <v>46</v>
      </c>
    </row>
    <row r="8" spans="1:3" ht="15" x14ac:dyDescent="0.2">
      <c r="A8" t="s">
        <v>47</v>
      </c>
      <c r="B8" t="s">
        <v>41</v>
      </c>
      <c r="C8" t="s">
        <v>48</v>
      </c>
    </row>
    <row r="9" spans="1:3" x14ac:dyDescent="0.2">
      <c r="A9" t="s">
        <v>49</v>
      </c>
      <c r="B9" s="2">
        <f>AVERAGE(Протокол!H2:H9)</f>
        <v>2</v>
      </c>
      <c r="C9" t="s">
        <v>50</v>
      </c>
    </row>
    <row r="10" spans="1:3" x14ac:dyDescent="0.2">
      <c r="A10" t="s">
        <v>51</v>
      </c>
      <c r="B10" s="2">
        <f>'SUS-NPS'!B13</f>
        <v>0</v>
      </c>
      <c r="C10" t="s">
        <v>52</v>
      </c>
    </row>
    <row r="11" spans="1:3" x14ac:dyDescent="0.2">
      <c r="A11" t="s">
        <v>53</v>
      </c>
      <c r="B11" s="2">
        <f>'SUS-NPS'!B15</f>
        <v>-100</v>
      </c>
      <c r="C11" t="s">
        <v>54</v>
      </c>
    </row>
    <row r="12" spans="1:3" x14ac:dyDescent="0.2">
      <c r="A12" t="s">
        <v>55</v>
      </c>
      <c r="B12" s="2">
        <f>SUM(Протокол!C2:C9)</f>
        <v>9.9609953703703701E-3</v>
      </c>
      <c r="C12" t="s">
        <v>56</v>
      </c>
    </row>
  </sheetData>
  <autoFilter ref="A1:C1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27" customWidth="1"/>
    <col min="2" max="2" width="22" customWidth="1"/>
    <col min="3" max="3" width="78" customWidth="1"/>
  </cols>
  <sheetData>
    <row r="1" spans="1:3" ht="15" x14ac:dyDescent="0.2">
      <c r="A1" s="1" t="s">
        <v>57</v>
      </c>
      <c r="B1" s="1" t="s">
        <v>58</v>
      </c>
      <c r="C1" s="1" t="s">
        <v>59</v>
      </c>
    </row>
    <row r="2" spans="1:3" x14ac:dyDescent="0.2">
      <c r="A2" t="s">
        <v>60</v>
      </c>
      <c r="B2">
        <v>1</v>
      </c>
      <c r="C2" s="2">
        <f>B2-1</f>
        <v>0</v>
      </c>
    </row>
    <row r="3" spans="1:3" x14ac:dyDescent="0.2">
      <c r="A3" t="s">
        <v>61</v>
      </c>
      <c r="B3">
        <v>1</v>
      </c>
      <c r="C3" s="2">
        <f>5-B3</f>
        <v>4</v>
      </c>
    </row>
    <row r="4" spans="1:3" x14ac:dyDescent="0.2">
      <c r="A4" t="s">
        <v>62</v>
      </c>
      <c r="B4">
        <v>2</v>
      </c>
      <c r="C4" s="2">
        <f>B4-1</f>
        <v>1</v>
      </c>
    </row>
    <row r="5" spans="1:3" x14ac:dyDescent="0.2">
      <c r="A5" t="s">
        <v>63</v>
      </c>
      <c r="B5">
        <v>1</v>
      </c>
      <c r="C5" s="2">
        <f>5-B5</f>
        <v>4</v>
      </c>
    </row>
    <row r="6" spans="1:3" x14ac:dyDescent="0.2">
      <c r="A6" t="s">
        <v>64</v>
      </c>
      <c r="B6">
        <v>4</v>
      </c>
      <c r="C6" s="2">
        <f>B6-1</f>
        <v>3</v>
      </c>
    </row>
    <row r="7" spans="1:3" x14ac:dyDescent="0.2">
      <c r="A7" t="s">
        <v>65</v>
      </c>
      <c r="B7">
        <v>3</v>
      </c>
      <c r="C7" s="2">
        <f>5-B7</f>
        <v>2</v>
      </c>
    </row>
    <row r="8" spans="1:3" x14ac:dyDescent="0.2">
      <c r="A8" t="s">
        <v>66</v>
      </c>
      <c r="B8">
        <v>5</v>
      </c>
      <c r="C8" s="2">
        <f>B8-1</f>
        <v>4</v>
      </c>
    </row>
    <row r="9" spans="1:3" x14ac:dyDescent="0.2">
      <c r="A9" t="s">
        <v>67</v>
      </c>
      <c r="B9">
        <v>1</v>
      </c>
      <c r="C9" s="2">
        <f>5-B9</f>
        <v>4</v>
      </c>
    </row>
    <row r="10" spans="1:3" x14ac:dyDescent="0.2">
      <c r="A10" t="s">
        <v>68</v>
      </c>
      <c r="B10">
        <v>5</v>
      </c>
      <c r="C10" s="2">
        <f>B10-1</f>
        <v>4</v>
      </c>
    </row>
    <row r="11" spans="1:3" x14ac:dyDescent="0.2">
      <c r="A11" t="s">
        <v>69</v>
      </c>
      <c r="B11">
        <v>1</v>
      </c>
      <c r="C11" s="2">
        <f>5-B11</f>
        <v>4</v>
      </c>
    </row>
    <row r="12" spans="1:3" x14ac:dyDescent="0.2">
      <c r="A12" t="s">
        <v>70</v>
      </c>
      <c r="B12" t="s">
        <v>28</v>
      </c>
      <c r="C12" s="2">
        <f>SUM(C2:C11)</f>
        <v>30</v>
      </c>
    </row>
    <row r="13" spans="1:3" x14ac:dyDescent="0.2">
      <c r="A13" t="s">
        <v>71</v>
      </c>
      <c r="C13" s="2">
        <f>C12*2.5</f>
        <v>75</v>
      </c>
    </row>
    <row r="14" spans="1:3" ht="15" x14ac:dyDescent="0.2">
      <c r="A14" t="s">
        <v>72</v>
      </c>
      <c r="B14">
        <v>3</v>
      </c>
      <c r="C14" t="s">
        <v>73</v>
      </c>
    </row>
    <row r="15" spans="1:3" x14ac:dyDescent="0.2">
      <c r="A15" t="s">
        <v>74</v>
      </c>
      <c r="B15" s="2">
        <f>IF(B14&gt;=9,100,IF(B14&gt;=7,0,-100))</f>
        <v>-100</v>
      </c>
      <c r="C15" t="s">
        <v>75</v>
      </c>
    </row>
    <row r="16" spans="1:3" ht="15" x14ac:dyDescent="0.2">
      <c r="A16" t="s">
        <v>76</v>
      </c>
      <c r="B16" t="s">
        <v>77</v>
      </c>
      <c r="C1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Протокол</vt:lpstr>
      <vt:lpstr>Итоги</vt:lpstr>
      <vt:lpstr>SUS-NPS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MA7891</cp:lastModifiedBy>
  <dcterms:modified xsi:type="dcterms:W3CDTF">2026-10-28T16:42:24Z</dcterms:modified>
</cp:coreProperties>
</file>